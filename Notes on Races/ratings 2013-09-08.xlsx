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120" yWindow="330" windowWidth="15450" windowHeight="5460"/>
  </bookViews>
  <sheets>
    <sheet name="Sheet1" sheetId="1" r:id="rId1"/>
    <sheet name="Sheet3" sheetId="3" r:id="rId2"/>
    <sheet name="Sheet4" sheetId="4" r:id="rId3"/>
    <sheet name="Sheet5" sheetId="5" r:id="rId4"/>
  </sheets>
  <definedNames>
    <definedName name="_xlnm._FilterDatabase" localSheetId="0" hidden="1">Sheet1!$A$1:$I$1</definedName>
  </definedNames>
  <calcPr calcId="125725"/>
</workbook>
</file>

<file path=xl/calcChain.xml><?xml version="1.0" encoding="utf-8"?>
<calcChain xmlns="http://schemas.openxmlformats.org/spreadsheetml/2006/main">
  <c r="I41" i="1"/>
  <c r="I40"/>
</calcChain>
</file>

<file path=xl/sharedStrings.xml><?xml version="1.0" encoding="utf-8"?>
<sst xmlns="http://schemas.openxmlformats.org/spreadsheetml/2006/main" count="199" uniqueCount="68">
  <si>
    <t>Race</t>
  </si>
  <si>
    <t>Winner</t>
  </si>
  <si>
    <t>Clear win</t>
  </si>
  <si>
    <t>Narrow win – stable throughout</t>
  </si>
  <si>
    <r>
      <t>Narrow win – 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place is closing the gap in the final straight </t>
    </r>
  </si>
  <si>
    <t>Narrow win – winning dog initially behind but catches up to win</t>
  </si>
  <si>
    <t>Narrow win – winning dog is initially behind, but enters the lead about midway through the race.</t>
  </si>
  <si>
    <t>366 – clear win</t>
  </si>
  <si>
    <r>
      <t>Clear win.   (Quite curious race for 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place, which starts at the back)</t>
    </r>
  </si>
  <si>
    <t>Classic catch-up; winning dog is initially behind, nailbiting finish</t>
  </si>
  <si>
    <t>Somewhere in between a clear and a narrow win!</t>
  </si>
  <si>
    <t>Hmm, is this a catch up? Winner starts in the middle, but powers through to quite a convincing finish</t>
  </si>
  <si>
    <t>Narrow win, close throughout between first and second placed dogs, hence stable? (although order seems to switch several times during race)</t>
  </si>
  <si>
    <t>The clearest win there ever was</t>
  </si>
  <si>
    <t>Narrow win, stable throughout</t>
  </si>
  <si>
    <t>Narrow win, the second place dog nearly catches up but doesn’t quite</t>
  </si>
  <si>
    <t>Somewhat narrow win, although 1 and 2 are miles ahead of the rest</t>
  </si>
  <si>
    <t>Reasonably clear win although winner starts in the middle of the pack</t>
  </si>
  <si>
    <t>Event type (from perspective of winning dog) luke</t>
  </si>
  <si>
    <t xml:space="preserve">Distance </t>
  </si>
  <si>
    <t xml:space="preserve">Event type (from perspective of winning dog) Kate </t>
  </si>
  <si>
    <t>Near miss catch up</t>
  </si>
  <si>
    <t>NM overtake</t>
  </si>
  <si>
    <t>CM</t>
  </si>
  <si>
    <t>NM overtake 336</t>
  </si>
  <si>
    <t>Cm</t>
  </si>
  <si>
    <t>NM catchup</t>
  </si>
  <si>
    <t>cm</t>
  </si>
  <si>
    <t>Complex</t>
  </si>
  <si>
    <t>Yin Wu 2</t>
  </si>
  <si>
    <t>Clear Miss </t>
  </si>
  <si>
    <t>near miss stable</t>
  </si>
  <si>
    <t>near miss - ambiguous</t>
  </si>
  <si>
    <t>Near Miss - Catch up finish</t>
  </si>
  <si>
    <t>Near Miss - Overtake finish</t>
  </si>
  <si>
    <t>near miss - stable</t>
  </si>
  <si>
    <t>stable clear narrow</t>
  </si>
  <si>
    <t>overtake win</t>
  </si>
  <si>
    <t xml:space="preserve">overtake win </t>
  </si>
  <si>
    <t xml:space="preserve">clear win  </t>
  </si>
  <si>
    <t xml:space="preserve">clearstable win </t>
  </si>
  <si>
    <t xml:space="preserve">close overtake? </t>
  </si>
  <si>
    <t>Consensus</t>
  </si>
  <si>
    <t>Clear Miss</t>
  </si>
  <si>
    <t>Overtake</t>
  </si>
  <si>
    <t>Clear miss</t>
  </si>
  <si>
    <t>stable near miss</t>
  </si>
  <si>
    <t xml:space="preserve">overtake </t>
  </si>
  <si>
    <t xml:space="preserve">stable narrow win </t>
  </si>
  <si>
    <t>complex</t>
  </si>
  <si>
    <t>catch up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</si>
  <si>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</si>
  <si>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</si>
  <si>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</si>
  <si>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</si>
  <si>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</si>
  <si>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</si>
  <si>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</si>
  <si>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</si>
  <si>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</si>
  <si>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c</t>
  </si>
  <si>
    <r>
      <t xml:space="preserve">366 </t>
    </r>
    <r>
      <rPr>
        <sz val="11"/>
        <color rgb="FFFF0000"/>
        <rFont val="Calibri"/>
        <family val="2"/>
        <scheme val="minor"/>
      </rPr>
      <t>– winning dog initially behind but catches up to win</t>
    </r>
  </si>
  <si>
    <t>n</t>
  </si>
  <si>
    <t>TYPE</t>
  </si>
  <si>
    <t>C</t>
  </si>
  <si>
    <t>?</t>
  </si>
  <si>
    <t xml:space="preserve">n </t>
  </si>
  <si>
    <t>£ raters</t>
  </si>
</sst>
</file>

<file path=xl/styles.xml><?xml version="1.0" encoding="utf-8"?>
<styleSheet xmlns="http://schemas.openxmlformats.org/spreadsheetml/2006/main">
  <fonts count="1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0E0E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738266"/>
      </left>
      <right style="medium">
        <color rgb="FF738266"/>
      </right>
      <top style="medium">
        <color rgb="FF738266"/>
      </top>
      <bottom style="medium">
        <color rgb="FF73826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vertical="center" wrapText="1"/>
    </xf>
    <xf numFmtId="2" fontId="2" fillId="0" borderId="2" xfId="0" applyNumberFormat="1" applyFont="1" applyBorder="1" applyAlignment="1">
      <alignment vertical="center" wrapText="1"/>
    </xf>
    <xf numFmtId="2" fontId="2" fillId="0" borderId="4" xfId="0" applyNumberFormat="1" applyFont="1" applyBorder="1" applyAlignment="1">
      <alignment vertical="center" wrapText="1"/>
    </xf>
    <xf numFmtId="2" fontId="2" fillId="0" borderId="4" xfId="0" applyNumberFormat="1" applyFont="1" applyBorder="1" applyAlignment="1">
      <alignment horizontal="justify" vertical="center" wrapText="1"/>
    </xf>
    <xf numFmtId="2" fontId="0" fillId="0" borderId="0" xfId="0" applyNumberFormat="1"/>
    <xf numFmtId="0" fontId="2" fillId="2" borderId="3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wrapText="1" readingOrder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2" fontId="5" fillId="0" borderId="4" xfId="0" applyNumberFormat="1" applyFont="1" applyBorder="1" applyAlignment="1">
      <alignment vertical="center" wrapText="1"/>
    </xf>
    <xf numFmtId="0" fontId="7" fillId="0" borderId="0" xfId="0" applyFont="1"/>
    <xf numFmtId="0" fontId="8" fillId="3" borderId="5" xfId="0" applyFont="1" applyFill="1" applyBorder="1" applyAlignment="1">
      <alignment horizontal="left" wrapText="1" readingOrder="1"/>
    </xf>
    <xf numFmtId="49" fontId="9" fillId="4" borderId="4" xfId="0" applyNumberFormat="1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3" xfId="0" applyBorder="1"/>
    <xf numFmtId="0" fontId="0" fillId="0" borderId="4" xfId="0" applyBorder="1"/>
    <xf numFmtId="2" fontId="5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3" borderId="0" xfId="0" applyFont="1" applyFill="1" applyAlignment="1">
      <alignment horizontal="left" wrapText="1" readingOrder="1"/>
    </xf>
    <xf numFmtId="0" fontId="0" fillId="0" borderId="5" xfId="0" applyBorder="1"/>
    <xf numFmtId="2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971550</xdr:colOff>
      <xdr:row>45</xdr:row>
      <xdr:rowOff>190500</xdr:rowOff>
    </xdr:from>
    <xdr:to>
      <xdr:col>7</xdr:col>
      <xdr:colOff>590550</xdr:colOff>
      <xdr:row>76</xdr:row>
      <xdr:rowOff>161925</xdr:rowOff>
    </xdr:to>
    <xdr:sp macro="" textlink="">
      <xdr:nvSpPr>
        <xdr:cNvPr id="2" name="TextBox 1"/>
        <xdr:cNvSpPr txBox="1"/>
      </xdr:nvSpPr>
      <xdr:spPr>
        <a:xfrm>
          <a:off x="2647950" y="14887575"/>
          <a:ext cx="5362575" cy="617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 sz="1100"/>
            <a:t>3 raters independently rated</a:t>
          </a:r>
          <a:r>
            <a:rPr lang="en-GB" sz="1100" baseline="0"/>
            <a:t> 38 races (of which 36 were of standard length)</a:t>
          </a:r>
        </a:p>
        <a:p>
          <a:endParaRPr lang="en-GB" sz="1100" baseline="0"/>
        </a:p>
        <a:p>
          <a:r>
            <a:rPr lang="en-GB" sz="1100" baseline="0"/>
            <a:t>The nine races of longest gap (time between 1st and second),  that were unanimously regarded as 'clear wins' were taken as 'clear' stimuli</a:t>
          </a:r>
        </a:p>
        <a:p>
          <a:endParaRPr lang="en-GB" sz="1100" baseline="0"/>
        </a:p>
        <a:p>
          <a:r>
            <a:rPr lang="en-GB" sz="1100" baseline="0"/>
            <a:t>The nine races with shortest gap that were </a:t>
          </a:r>
          <a:r>
            <a:rPr lang="en-GB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unanimously </a:t>
          </a:r>
          <a:r>
            <a:rPr lang="en-GB" sz="1100" baseline="0"/>
            <a:t>regarded as narrow wins were taken as 'narrow' stimuli.</a:t>
          </a:r>
        </a:p>
        <a:p>
          <a:endParaRPr lang="en-GB" sz="1100" baseline="0"/>
        </a:p>
        <a:p>
          <a:r>
            <a:rPr lang="en-GB" sz="1100" baseline="0"/>
            <a:t>In a given trial sequence, narrow &amp; clear stimuli were used for  3 types of result: wins, second places (near miss) and third/fourth/fifth places. </a:t>
          </a:r>
        </a:p>
        <a:p>
          <a:endParaRPr lang="en-GB" sz="1100" baseline="0"/>
        </a:p>
        <a:p>
          <a:r>
            <a:rPr lang="en-GB" sz="1100" baseline="0"/>
            <a:t>The order of race vidoes, and their association with result type, randomised across subjects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47"/>
  <sheetViews>
    <sheetView tabSelected="1" workbookViewId="0">
      <pane xSplit="2" ySplit="1" topLeftCell="C17" activePane="bottomRight" state="frozenSplit"/>
      <selection pane="topRight" activeCell="B1" sqref="B1"/>
      <selection pane="bottomLeft" activeCell="A2" sqref="A2"/>
      <selection pane="bottomRight" activeCell="D54" sqref="D54"/>
    </sheetView>
  </sheetViews>
  <sheetFormatPr defaultRowHeight="15.75"/>
  <cols>
    <col min="1" max="1" width="6.125" customWidth="1"/>
    <col min="2" max="2" width="6.875" customWidth="1"/>
    <col min="3" max="3" width="9" style="11" customWidth="1"/>
    <col min="4" max="4" width="30.375" customWidth="1"/>
    <col min="5" max="5" width="16.125" customWidth="1"/>
    <col min="6" max="6" width="14.75" customWidth="1"/>
    <col min="7" max="7" width="14.125" customWidth="1"/>
  </cols>
  <sheetData>
    <row r="1" spans="1:10" ht="30.75" thickBot="1">
      <c r="A1" s="1" t="s">
        <v>0</v>
      </c>
      <c r="B1" s="2" t="s">
        <v>1</v>
      </c>
      <c r="C1" s="8" t="s">
        <v>19</v>
      </c>
      <c r="D1" s="2" t="s">
        <v>18</v>
      </c>
      <c r="E1" t="s">
        <v>20</v>
      </c>
      <c r="F1" s="13" t="s">
        <v>29</v>
      </c>
      <c r="G1" t="s">
        <v>42</v>
      </c>
      <c r="H1" t="s">
        <v>63</v>
      </c>
    </row>
    <row r="2" spans="1:10" ht="27" thickBot="1">
      <c r="A2" s="3">
        <v>31</v>
      </c>
      <c r="B2" s="4">
        <v>246</v>
      </c>
      <c r="C2" s="9">
        <v>9.9999999999980105E-3</v>
      </c>
      <c r="D2" s="4" t="s">
        <v>14</v>
      </c>
      <c r="E2" t="s">
        <v>28</v>
      </c>
      <c r="F2" s="13" t="s">
        <v>34</v>
      </c>
      <c r="H2" t="s">
        <v>62</v>
      </c>
      <c r="I2" t="s">
        <v>51</v>
      </c>
    </row>
    <row r="3" spans="1:10" ht="27" thickBot="1">
      <c r="A3" s="3">
        <v>3</v>
      </c>
      <c r="B3" s="4">
        <v>345</v>
      </c>
      <c r="C3" s="9">
        <v>1.0000000000001563E-2</v>
      </c>
      <c r="D3" s="4" t="s">
        <v>3</v>
      </c>
      <c r="E3" t="s">
        <v>28</v>
      </c>
      <c r="F3" s="13" t="s">
        <v>32</v>
      </c>
      <c r="H3" t="s">
        <v>62</v>
      </c>
      <c r="I3" t="s">
        <v>52</v>
      </c>
    </row>
    <row r="4" spans="1:10" ht="16.5" thickBot="1">
      <c r="A4" s="3">
        <v>35</v>
      </c>
      <c r="B4" s="4">
        <v>124</v>
      </c>
      <c r="C4" s="9">
        <v>3.0000000000001137E-2</v>
      </c>
      <c r="D4" s="4" t="s">
        <v>14</v>
      </c>
      <c r="E4" t="s">
        <v>40</v>
      </c>
      <c r="F4" s="13" t="s">
        <v>35</v>
      </c>
      <c r="G4" t="s">
        <v>31</v>
      </c>
      <c r="H4" t="s">
        <v>62</v>
      </c>
      <c r="I4" t="s">
        <v>53</v>
      </c>
    </row>
    <row r="5" spans="1:10" ht="45.75" thickBot="1">
      <c r="A5" s="3">
        <v>26</v>
      </c>
      <c r="B5" s="4">
        <v>153</v>
      </c>
      <c r="C5" s="9">
        <v>3.0000000000001137E-2</v>
      </c>
      <c r="D5" s="4" t="s">
        <v>11</v>
      </c>
      <c r="E5" t="s">
        <v>39</v>
      </c>
      <c r="F5" s="13" t="s">
        <v>30</v>
      </c>
      <c r="H5" t="s">
        <v>64</v>
      </c>
    </row>
    <row r="6" spans="1:10" ht="30.75" thickBot="1">
      <c r="A6" s="3">
        <v>15</v>
      </c>
      <c r="B6" s="4">
        <v>134</v>
      </c>
      <c r="C6" s="9">
        <v>5.0000000000000711E-2</v>
      </c>
      <c r="D6" s="4" t="s">
        <v>9</v>
      </c>
      <c r="E6" t="s">
        <v>38</v>
      </c>
      <c r="F6" s="13" t="s">
        <v>34</v>
      </c>
      <c r="G6" t="s">
        <v>47</v>
      </c>
      <c r="H6" s="17" t="s">
        <v>62</v>
      </c>
      <c r="I6" s="17"/>
      <c r="J6" s="17"/>
    </row>
    <row r="7" spans="1:10" ht="16.5" thickBot="1">
      <c r="A7" s="3">
        <v>2</v>
      </c>
      <c r="B7" s="4">
        <v>321</v>
      </c>
      <c r="C7" s="9">
        <v>5.0000000000000711E-2</v>
      </c>
      <c r="D7" s="4" t="s">
        <v>3</v>
      </c>
      <c r="E7" t="s">
        <v>36</v>
      </c>
      <c r="F7" s="13" t="s">
        <v>31</v>
      </c>
      <c r="H7" t="s">
        <v>62</v>
      </c>
      <c r="I7" t="s">
        <v>54</v>
      </c>
    </row>
    <row r="8" spans="1:10" s="17" customFormat="1" ht="33" thickBot="1">
      <c r="A8" s="3">
        <v>4</v>
      </c>
      <c r="B8" s="4">
        <v>352</v>
      </c>
      <c r="C8" s="9">
        <v>5.0000000000000711E-2</v>
      </c>
      <c r="D8" s="4" t="s">
        <v>4</v>
      </c>
      <c r="E8" t="s">
        <v>21</v>
      </c>
      <c r="F8" s="13" t="s">
        <v>33</v>
      </c>
      <c r="G8"/>
      <c r="H8" t="s">
        <v>62</v>
      </c>
      <c r="I8" t="s">
        <v>55</v>
      </c>
      <c r="J8"/>
    </row>
    <row r="9" spans="1:10" ht="16.5" thickBot="1">
      <c r="A9" s="3">
        <v>21</v>
      </c>
      <c r="B9" s="4">
        <v>314</v>
      </c>
      <c r="C9" s="9">
        <v>5.0000000000000711E-2</v>
      </c>
      <c r="D9" s="4" t="s">
        <v>3</v>
      </c>
      <c r="E9" t="s">
        <v>48</v>
      </c>
      <c r="F9" s="13" t="s">
        <v>35</v>
      </c>
      <c r="G9" t="s">
        <v>46</v>
      </c>
      <c r="H9" t="s">
        <v>62</v>
      </c>
      <c r="I9" t="s">
        <v>56</v>
      </c>
    </row>
    <row r="10" spans="1:10" ht="75.75" thickBot="1">
      <c r="A10" s="3">
        <v>38</v>
      </c>
      <c r="B10" s="4">
        <v>612</v>
      </c>
      <c r="C10" s="19">
        <v>7.0000000000000284E-2</v>
      </c>
      <c r="D10" s="4" t="s">
        <v>12</v>
      </c>
      <c r="E10" t="s">
        <v>41</v>
      </c>
      <c r="F10" s="13" t="s">
        <v>34</v>
      </c>
      <c r="H10" s="17" t="s">
        <v>62</v>
      </c>
      <c r="I10" t="s">
        <v>57</v>
      </c>
      <c r="J10" s="17"/>
    </row>
    <row r="11" spans="1:10" ht="16.5" thickBot="1">
      <c r="A11" s="3">
        <v>14</v>
      </c>
      <c r="B11" s="4">
        <v>465</v>
      </c>
      <c r="C11" s="9">
        <v>7.0000000000000284E-2</v>
      </c>
      <c r="D11" s="4" t="s">
        <v>3</v>
      </c>
      <c r="E11" t="s">
        <v>23</v>
      </c>
      <c r="F11" s="13" t="s">
        <v>35</v>
      </c>
      <c r="G11" t="s">
        <v>46</v>
      </c>
      <c r="H11" t="s">
        <v>65</v>
      </c>
    </row>
    <row r="12" spans="1:10" s="17" customFormat="1" ht="45.75" thickBot="1">
      <c r="A12" s="3">
        <v>37</v>
      </c>
      <c r="B12" s="4">
        <v>135</v>
      </c>
      <c r="C12" s="9">
        <v>7.0000000000000284E-2</v>
      </c>
      <c r="D12" s="4" t="s">
        <v>17</v>
      </c>
      <c r="E12" t="s">
        <v>28</v>
      </c>
      <c r="F12" s="13" t="s">
        <v>35</v>
      </c>
      <c r="G12"/>
      <c r="H12" t="s">
        <v>65</v>
      </c>
      <c r="I12"/>
      <c r="J12"/>
    </row>
    <row r="13" spans="1:10" ht="30.75" thickBot="1">
      <c r="A13" s="3">
        <v>5</v>
      </c>
      <c r="B13" s="4">
        <v>231</v>
      </c>
      <c r="C13" s="9">
        <v>8.9999999999999858E-2</v>
      </c>
      <c r="D13" s="4" t="s">
        <v>5</v>
      </c>
      <c r="E13" t="s">
        <v>22</v>
      </c>
      <c r="F13" s="13" t="s">
        <v>34</v>
      </c>
      <c r="H13" t="s">
        <v>62</v>
      </c>
      <c r="I13" s="17" t="s">
        <v>58</v>
      </c>
    </row>
    <row r="14" spans="1:10" ht="16.5" thickBot="1">
      <c r="A14" s="3">
        <v>13</v>
      </c>
      <c r="B14" s="4">
        <v>213</v>
      </c>
      <c r="C14" s="9">
        <v>8.9999999999999858E-2</v>
      </c>
      <c r="D14" s="4" t="s">
        <v>2</v>
      </c>
      <c r="E14" t="s">
        <v>25</v>
      </c>
      <c r="F14" s="13" t="s">
        <v>30</v>
      </c>
      <c r="G14" t="s">
        <v>45</v>
      </c>
      <c r="H14" t="s">
        <v>65</v>
      </c>
    </row>
    <row r="15" spans="1:10" ht="45.75" thickBot="1">
      <c r="A15" s="3">
        <v>9</v>
      </c>
      <c r="B15" s="4">
        <v>412</v>
      </c>
      <c r="C15" s="9">
        <v>0.10000000000000142</v>
      </c>
      <c r="D15" s="4" t="s">
        <v>6</v>
      </c>
      <c r="E15" t="s">
        <v>37</v>
      </c>
      <c r="F15" s="13" t="s">
        <v>34</v>
      </c>
      <c r="H15" t="s">
        <v>62</v>
      </c>
      <c r="I15" t="s">
        <v>59</v>
      </c>
    </row>
    <row r="16" spans="1:10" ht="30.75" thickBot="1">
      <c r="A16" s="3">
        <v>24</v>
      </c>
      <c r="B16" s="4">
        <v>421</v>
      </c>
      <c r="C16" s="9">
        <v>0.10000000000000142</v>
      </c>
      <c r="D16" s="4" t="s">
        <v>10</v>
      </c>
      <c r="E16" t="s">
        <v>26</v>
      </c>
      <c r="F16" s="13" t="s">
        <v>35</v>
      </c>
      <c r="H16" t="s">
        <v>65</v>
      </c>
    </row>
    <row r="17" spans="1:9" ht="33" thickBot="1">
      <c r="A17" s="3">
        <v>17</v>
      </c>
      <c r="B17" s="4">
        <v>526</v>
      </c>
      <c r="C17" s="9">
        <v>0.12000000000000099</v>
      </c>
      <c r="D17" s="4" t="s">
        <v>8</v>
      </c>
      <c r="E17" t="s">
        <v>23</v>
      </c>
      <c r="F17" s="13" t="s">
        <v>30</v>
      </c>
      <c r="G17" t="s">
        <v>27</v>
      </c>
      <c r="H17" t="s">
        <v>60</v>
      </c>
    </row>
    <row r="18" spans="1:9" ht="30.75" thickBot="1">
      <c r="A18" s="3">
        <v>20</v>
      </c>
      <c r="B18" s="4">
        <v>145</v>
      </c>
      <c r="C18" s="9">
        <v>0.14000000000000057</v>
      </c>
      <c r="D18" s="4" t="s">
        <v>10</v>
      </c>
      <c r="E18" t="s">
        <v>23</v>
      </c>
      <c r="F18" s="13" t="s">
        <v>31</v>
      </c>
      <c r="H18" t="s">
        <v>65</v>
      </c>
    </row>
    <row r="19" spans="1:9" ht="16.5" thickBot="1">
      <c r="A19" s="3">
        <v>30</v>
      </c>
      <c r="B19" s="4">
        <v>642</v>
      </c>
      <c r="C19" s="9">
        <v>0.14000000000000057</v>
      </c>
      <c r="D19" s="4" t="s">
        <v>2</v>
      </c>
      <c r="E19" t="s">
        <v>23</v>
      </c>
      <c r="F19" s="13" t="s">
        <v>30</v>
      </c>
      <c r="G19" t="s">
        <v>27</v>
      </c>
      <c r="H19" t="s">
        <v>60</v>
      </c>
    </row>
    <row r="20" spans="1:9" ht="30.75" thickBot="1">
      <c r="A20" s="3">
        <v>32</v>
      </c>
      <c r="B20" s="4">
        <v>263</v>
      </c>
      <c r="C20" s="9">
        <v>0.14000000000000057</v>
      </c>
      <c r="D20" s="4" t="s">
        <v>15</v>
      </c>
      <c r="E20" t="s">
        <v>26</v>
      </c>
      <c r="F20" s="13" t="s">
        <v>33</v>
      </c>
      <c r="G20" t="s">
        <v>50</v>
      </c>
      <c r="H20" t="s">
        <v>62</v>
      </c>
    </row>
    <row r="21" spans="1:9" ht="16.5" thickBot="1">
      <c r="A21" s="3">
        <v>23</v>
      </c>
      <c r="B21" s="4">
        <v>351</v>
      </c>
      <c r="C21" s="9">
        <v>0.16000000000000014</v>
      </c>
      <c r="D21" s="4" t="s">
        <v>2</v>
      </c>
      <c r="E21" t="s">
        <v>27</v>
      </c>
      <c r="F21" s="13" t="s">
        <v>30</v>
      </c>
      <c r="G21" t="s">
        <v>27</v>
      </c>
      <c r="H21" t="s">
        <v>60</v>
      </c>
      <c r="I21" t="s">
        <v>60</v>
      </c>
    </row>
    <row r="22" spans="1:9" ht="30.75" thickBot="1">
      <c r="A22" s="3">
        <v>33</v>
      </c>
      <c r="B22" s="4">
        <v>463</v>
      </c>
      <c r="C22" s="9">
        <v>0.16000000000000014</v>
      </c>
      <c r="D22" s="4" t="s">
        <v>16</v>
      </c>
      <c r="E22" t="s">
        <v>28</v>
      </c>
      <c r="F22" s="13" t="s">
        <v>30</v>
      </c>
      <c r="H22" t="s">
        <v>65</v>
      </c>
    </row>
    <row r="23" spans="1:9" ht="30.75" thickBot="1">
      <c r="A23" s="3">
        <v>34</v>
      </c>
      <c r="B23" s="4">
        <v>146</v>
      </c>
      <c r="C23" s="9">
        <v>0.16000000000000014</v>
      </c>
      <c r="D23" s="4" t="s">
        <v>10</v>
      </c>
      <c r="E23" t="s">
        <v>23</v>
      </c>
      <c r="F23" s="13" t="s">
        <v>35</v>
      </c>
      <c r="H23" t="s">
        <v>65</v>
      </c>
    </row>
    <row r="24" spans="1:9" ht="30.75" thickBot="1">
      <c r="A24" s="3">
        <v>36</v>
      </c>
      <c r="B24" s="4">
        <v>162</v>
      </c>
      <c r="C24" s="9">
        <v>0.16000000000000014</v>
      </c>
      <c r="D24" s="4" t="s">
        <v>9</v>
      </c>
      <c r="E24" t="s">
        <v>28</v>
      </c>
      <c r="F24" s="13" t="s">
        <v>34</v>
      </c>
      <c r="H24" t="s">
        <v>62</v>
      </c>
    </row>
    <row r="25" spans="1:9" ht="16.5" thickBot="1">
      <c r="A25" s="3">
        <v>19</v>
      </c>
      <c r="B25" s="4">
        <v>134</v>
      </c>
      <c r="C25" s="9">
        <v>0.19000000000000128</v>
      </c>
      <c r="D25" s="4" t="s">
        <v>2</v>
      </c>
      <c r="E25" t="s">
        <v>23</v>
      </c>
      <c r="F25" s="13" t="s">
        <v>30</v>
      </c>
      <c r="G25" t="s">
        <v>27</v>
      </c>
      <c r="H25" t="s">
        <v>60</v>
      </c>
      <c r="I25" t="s">
        <v>60</v>
      </c>
    </row>
    <row r="26" spans="1:9" ht="16.5" thickBot="1">
      <c r="A26" s="3">
        <v>8</v>
      </c>
      <c r="B26" s="4">
        <v>613</v>
      </c>
      <c r="C26" s="9">
        <v>0.23000000000000043</v>
      </c>
      <c r="D26" s="4" t="s">
        <v>2</v>
      </c>
      <c r="E26" t="s">
        <v>23</v>
      </c>
      <c r="F26" s="13" t="s">
        <v>30</v>
      </c>
      <c r="G26" t="s">
        <v>45</v>
      </c>
      <c r="H26" t="s">
        <v>60</v>
      </c>
      <c r="I26" t="s">
        <v>60</v>
      </c>
    </row>
    <row r="27" spans="1:9" ht="75.75" thickBot="1">
      <c r="A27" s="3">
        <v>27</v>
      </c>
      <c r="B27" s="4">
        <v>621</v>
      </c>
      <c r="C27" s="9">
        <v>0.23000000000000043</v>
      </c>
      <c r="D27" s="4" t="s">
        <v>12</v>
      </c>
      <c r="E27" t="s">
        <v>22</v>
      </c>
      <c r="F27" s="13" t="s">
        <v>34</v>
      </c>
      <c r="H27" t="s">
        <v>62</v>
      </c>
    </row>
    <row r="28" spans="1:9" ht="16.5" thickBot="1">
      <c r="A28" s="3">
        <v>10</v>
      </c>
      <c r="B28" s="4">
        <v>134</v>
      </c>
      <c r="C28" s="9">
        <v>0.23999999999999844</v>
      </c>
      <c r="D28" s="4" t="s">
        <v>2</v>
      </c>
      <c r="E28" t="s">
        <v>25</v>
      </c>
      <c r="F28" s="13" t="s">
        <v>30</v>
      </c>
      <c r="G28" t="s">
        <v>45</v>
      </c>
      <c r="H28" t="s">
        <v>60</v>
      </c>
      <c r="I28" t="s">
        <v>60</v>
      </c>
    </row>
    <row r="29" spans="1:9" ht="16.5" thickBot="1">
      <c r="A29" s="14">
        <v>11</v>
      </c>
      <c r="B29" s="15">
        <v>412</v>
      </c>
      <c r="C29" s="16">
        <v>0.26000000000000156</v>
      </c>
      <c r="D29" s="15" t="s">
        <v>7</v>
      </c>
      <c r="E29" s="17" t="s">
        <v>25</v>
      </c>
      <c r="F29" s="18" t="s">
        <v>30</v>
      </c>
      <c r="G29" s="17" t="s">
        <v>43</v>
      </c>
    </row>
    <row r="30" spans="1:9" ht="16.5" thickBot="1">
      <c r="A30" s="3">
        <v>18</v>
      </c>
      <c r="B30" s="4">
        <v>465</v>
      </c>
      <c r="C30" s="9">
        <v>0.26000000000000156</v>
      </c>
      <c r="D30" s="4" t="s">
        <v>3</v>
      </c>
      <c r="E30" t="s">
        <v>23</v>
      </c>
      <c r="F30" s="13" t="s">
        <v>35</v>
      </c>
      <c r="H30" t="s">
        <v>65</v>
      </c>
    </row>
    <row r="31" spans="1:9" ht="16.5" thickBot="1">
      <c r="A31" s="3">
        <v>1</v>
      </c>
      <c r="B31" s="4">
        <v>142</v>
      </c>
      <c r="C31" s="9">
        <v>0.28000000000000114</v>
      </c>
      <c r="D31" s="4" t="s">
        <v>2</v>
      </c>
      <c r="E31" t="s">
        <v>2</v>
      </c>
      <c r="F31" s="13" t="s">
        <v>30</v>
      </c>
      <c r="G31" t="s">
        <v>60</v>
      </c>
      <c r="H31" t="s">
        <v>60</v>
      </c>
      <c r="I31" t="s">
        <v>60</v>
      </c>
    </row>
    <row r="32" spans="1:9" ht="16.5" thickBot="1">
      <c r="A32" s="3">
        <v>25</v>
      </c>
      <c r="B32" s="4">
        <v>342</v>
      </c>
      <c r="C32" s="9">
        <v>0.31000000000000227</v>
      </c>
      <c r="D32" s="4" t="s">
        <v>3</v>
      </c>
      <c r="E32" t="s">
        <v>26</v>
      </c>
      <c r="F32" s="13" t="s">
        <v>31</v>
      </c>
      <c r="H32" t="s">
        <v>62</v>
      </c>
    </row>
    <row r="33" spans="1:9" ht="33" thickBot="1">
      <c r="A33" s="3">
        <v>12</v>
      </c>
      <c r="B33" s="5">
        <v>635</v>
      </c>
      <c r="C33" s="10">
        <v>0.35000000000000142</v>
      </c>
      <c r="D33" s="4" t="s">
        <v>8</v>
      </c>
      <c r="E33" t="s">
        <v>23</v>
      </c>
      <c r="F33" s="13" t="s">
        <v>30</v>
      </c>
      <c r="G33" t="s">
        <v>43</v>
      </c>
      <c r="H33" t="s">
        <v>60</v>
      </c>
      <c r="I33" t="s">
        <v>60</v>
      </c>
    </row>
    <row r="34" spans="1:9" ht="16.5" thickBot="1">
      <c r="A34" s="3">
        <v>29</v>
      </c>
      <c r="B34" s="4">
        <v>612</v>
      </c>
      <c r="C34" s="9">
        <v>0.40000000000000213</v>
      </c>
      <c r="D34" s="4" t="s">
        <v>13</v>
      </c>
      <c r="E34" t="s">
        <v>23</v>
      </c>
      <c r="F34" s="13" t="s">
        <v>30</v>
      </c>
      <c r="G34" t="s">
        <v>27</v>
      </c>
      <c r="H34" t="s">
        <v>60</v>
      </c>
      <c r="I34" t="s">
        <v>60</v>
      </c>
    </row>
    <row r="35" spans="1:9" ht="16.5" thickBot="1">
      <c r="A35" s="3">
        <v>6</v>
      </c>
      <c r="B35" s="4">
        <v>635</v>
      </c>
      <c r="C35" s="9">
        <v>0.41999999999999815</v>
      </c>
      <c r="D35" s="4" t="s">
        <v>2</v>
      </c>
      <c r="E35" t="s">
        <v>23</v>
      </c>
      <c r="F35" s="13" t="s">
        <v>30</v>
      </c>
      <c r="G35" s="7" t="s">
        <v>43</v>
      </c>
      <c r="H35" t="s">
        <v>60</v>
      </c>
      <c r="I35" t="s">
        <v>60</v>
      </c>
    </row>
    <row r="36" spans="1:9" ht="16.5" thickBot="1">
      <c r="A36" s="3">
        <v>16</v>
      </c>
      <c r="B36" s="4">
        <v>631</v>
      </c>
      <c r="C36" s="9">
        <v>0.41999999999999815</v>
      </c>
      <c r="D36" s="4" t="s">
        <v>3</v>
      </c>
      <c r="E36" t="s">
        <v>26</v>
      </c>
      <c r="F36" s="13" t="s">
        <v>35</v>
      </c>
      <c r="H36" t="s">
        <v>62</v>
      </c>
    </row>
    <row r="37" spans="1:9" ht="16.5" thickBot="1">
      <c r="A37" s="3">
        <v>22</v>
      </c>
      <c r="B37" s="4">
        <v>354</v>
      </c>
      <c r="C37" s="9">
        <v>0.57999999999999829</v>
      </c>
      <c r="D37" s="4" t="s">
        <v>3</v>
      </c>
      <c r="E37" t="s">
        <v>49</v>
      </c>
      <c r="F37" s="13" t="s">
        <v>35</v>
      </c>
      <c r="H37" t="s">
        <v>62</v>
      </c>
    </row>
    <row r="38" spans="1:9" ht="16.5" thickBot="1">
      <c r="A38" s="12">
        <v>28</v>
      </c>
      <c r="B38" s="4">
        <v>123</v>
      </c>
      <c r="C38" s="9">
        <v>0.69999999999999929</v>
      </c>
      <c r="D38" s="4" t="s">
        <v>2</v>
      </c>
      <c r="E38" t="s">
        <v>23</v>
      </c>
      <c r="F38" s="13" t="s">
        <v>30</v>
      </c>
      <c r="G38" t="s">
        <v>27</v>
      </c>
      <c r="H38" t="s">
        <v>60</v>
      </c>
      <c r="I38" t="s">
        <v>60</v>
      </c>
    </row>
    <row r="39" spans="1:9" ht="16.5" thickBot="1">
      <c r="A39" s="21"/>
      <c r="B39" s="22"/>
      <c r="C39" s="27"/>
      <c r="D39" s="22"/>
      <c r="F39" s="26"/>
      <c r="G39" t="s">
        <v>65</v>
      </c>
      <c r="I39">
        <v>8</v>
      </c>
    </row>
    <row r="40" spans="1:9">
      <c r="G40" t="s">
        <v>60</v>
      </c>
      <c r="I40">
        <f>COUNTIF(H:H,"=c")</f>
        <v>12</v>
      </c>
    </row>
    <row r="41" spans="1:9">
      <c r="A41" s="6"/>
      <c r="G41" t="s">
        <v>66</v>
      </c>
      <c r="I41">
        <f>COUNTIF(H:H,"=n")</f>
        <v>16</v>
      </c>
    </row>
    <row r="42" spans="1:9" ht="30">
      <c r="A42" s="20">
        <v>7</v>
      </c>
      <c r="B42" s="20">
        <v>623</v>
      </c>
      <c r="C42" s="23"/>
      <c r="D42" s="24" t="s">
        <v>61</v>
      </c>
      <c r="E42" s="17" t="s">
        <v>24</v>
      </c>
      <c r="F42" s="25" t="s">
        <v>34</v>
      </c>
      <c r="G42" s="17" t="s">
        <v>44</v>
      </c>
    </row>
    <row r="47" spans="1:9">
      <c r="A47" t="s">
        <v>67</v>
      </c>
    </row>
  </sheetData>
  <autoFilter ref="A1:G1">
    <sortState ref="A2:G42">
      <sortCondition ref="C1"/>
    </sortState>
  </autoFilter>
  <sortState ref="A2:J42">
    <sortCondition ref="C2:C42"/>
  </sortState>
  <conditionalFormatting sqref="C1:C1048576">
    <cfRule type="colorScale" priority="1">
      <colorScale>
        <cfvo type="min" val="0"/>
        <cfvo type="percentile" val="50"/>
        <cfvo type="max" val="0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Champion</dc:creator>
  <cp:lastModifiedBy>Mike Aitken</cp:lastModifiedBy>
  <dcterms:created xsi:type="dcterms:W3CDTF">2013-07-31T08:37:38Z</dcterms:created>
  <dcterms:modified xsi:type="dcterms:W3CDTF">2014-03-07T14:46:48Z</dcterms:modified>
</cp:coreProperties>
</file>